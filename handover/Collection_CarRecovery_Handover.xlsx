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V Validation" sheetId="2" state="visible" r:id="rId4"/>
    <sheet name="Hourly SSOT" sheetId="3" state="visible" r:id="rId5"/>
    <sheet name="Calculation Sheet" sheetId="4" state="visible" r:id="rId6"/>
    <sheet name="Tags &amp; Ranking" sheetId="5" state="visible" r:id="rId7"/>
    <sheet name="Dito Calling" sheetId="6" state="visible" r:id="rId8"/>
    <sheet name="Car Recovery" sheetId="7" state="visible" r:id="rId9"/>
    <sheet name="India Collection" sheetId="8" state="visible" r:id="rId10"/>
    <sheet name="Newsletter" sheetId="9" state="visible" r:id="rId11"/>
    <sheet name="Agent Daily Tracking" sheetId="10" state="visible" r:id="rId12"/>
    <sheet name="Old NOW High Risk" sheetId="11" state="visible" r:id="rId13"/>
    <sheet name="Experiment Dash" sheetId="12" state="visible" r:id="rId14"/>
    <sheet name="Other Items" sheetId="13" state="visible" r:id="rId15"/>
    <sheet name="Weekly Calendar" sheetId="14" state="visible" r:id="rId16"/>
    <sheet name="To-Do" sheetId="15" state="visible" r:id="rId17"/>
    <sheet name="Unclear Term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<sst xmlns="http://schemas.openxmlformats.org/spreadsheetml/2006/main" count="496" uniqueCount="357">
  <si>
    <t xml:space="preserve">Collection &amp; Car Recovery – Handover Overview</t>
  </si>
  <si>
    <t xml:space="preserve">Source: Handover call Raja Samal → Mithun Jaiswar, 12 Oct 2026. (?) = unclear in transcript, confirm with Raja.</t>
  </si>
  <si>
    <t xml:space="preserve">#</t>
  </si>
  <si>
    <t xml:space="preserve">Tab</t>
  </si>
  <si>
    <t xml:space="preserve">What it covers</t>
  </si>
  <si>
    <t xml:space="preserve">MV Validation</t>
  </si>
  <si>
    <t xml:space="preserve">Top priority: validate Collection Materialized View column by column</t>
  </si>
  <si>
    <t xml:space="preserve">Hourly SSOT</t>
  </si>
  <si>
    <t xml:space="preserve">Row 5 'Every hour, 8 to 8' links: calling script, Agent Dash DAG, Calculation sheet</t>
  </si>
  <si>
    <t xml:space="preserve">Calculation Sheet</t>
  </si>
  <si>
    <t xml:space="preserve">Master tab that builds the agent calling list – sources &amp; every column</t>
  </si>
  <si>
    <t xml:space="preserve">Tags &amp; Ranking</t>
  </si>
  <si>
    <t xml:space="preserve">Collection / Critical / ND tags, 8 AM freeze, ranking order</t>
  </si>
  <si>
    <t xml:space="preserve">Dito Calling</t>
  </si>
  <si>
    <t xml:space="preserve">Sarthak's sheet tracking whether master-list calls happen</t>
  </si>
  <si>
    <t xml:space="preserve">Car Recovery</t>
  </si>
  <si>
    <t xml:space="preserve">Central Car Recovery Dash, Legal tab, dashboards</t>
  </si>
  <si>
    <t xml:space="preserve">India Collection</t>
  </si>
  <si>
    <t xml:space="preserve">WBR View, Summary, exceptions to Raw Data, Funnel vs Non-Funnel</t>
  </si>
  <si>
    <t xml:space="preserve">Newsletter</t>
  </si>
  <si>
    <t xml:space="preserve">Wednesday newsletter steps</t>
  </si>
  <si>
    <t xml:space="preserve">Agent Daily Tracking</t>
  </si>
  <si>
    <t xml:space="preserve">Monday manual paste, day-level collection</t>
  </si>
  <si>
    <t xml:space="preserve">Old NOW High Risk</t>
  </si>
  <si>
    <t xml:space="preserve">Tuesday / Saturday manual tracker + email to cities</t>
  </si>
  <si>
    <t xml:space="preserve">Experiment Dash</t>
  </si>
  <si>
    <t xml:space="preserve">Pay-by-Wednesday ₹175 cashback / penalty tracker</t>
  </si>
  <si>
    <t xml:space="preserve">Other Items</t>
  </si>
  <si>
    <t xml:space="preserve">Weekly deck, Cash Block, deprecated sheets, ownership</t>
  </si>
  <si>
    <t xml:space="preserve">Weekly Calendar</t>
  </si>
  <si>
    <t xml:space="preserve">What to do on which day</t>
  </si>
  <si>
    <t xml:space="preserve">To-Do</t>
  </si>
  <si>
    <t xml:space="preserve">Open action items with status tracking</t>
  </si>
  <si>
    <t xml:space="preserve">Unclear Terms</t>
  </si>
  <si>
    <t xml:space="preserve">Words to confirm with Raja</t>
  </si>
  <si>
    <t xml:space="preserve">Deadline: Raja said it was supposed to go live 'tomorrow' – understand everything today.</t>
  </si>
  <si>
    <t xml:space="preserve">Approach: learn the sheets first; move each piece to automation (DAG / MV) one at a time.</t>
  </si>
  <si>
    <t xml:space="preserve">Raja is removing his access – take ownership of all sheets &amp; scripts, duplicate them for yourself.</t>
  </si>
  <si>
    <t xml:space="preserve">How to use: 'Status' columns have a dropdown (Not Started / In Progress / Done / Blocked).</t>
  </si>
  <si>
    <t xml:space="preserve">Collection Materialized View (MV) – Validation</t>
  </si>
  <si>
    <t xml:space="preserve">Column / Item</t>
  </si>
  <si>
    <t xml:space="preserve">Finding</t>
  </si>
  <si>
    <t xml:space="preserve">Decision / Action</t>
  </si>
  <si>
    <t xml:space="preserve">Status</t>
  </si>
  <si>
    <t xml:space="preserve">My Notes</t>
  </si>
  <si>
    <t xml:space="preserve">Process</t>
  </si>
  <si>
    <t xml:space="preserve">MV DAG takes ~10 min per week</t>
  </si>
  <si>
    <t xml:space="preserve">Pick 1 week (14 Sep used). Get logic+source of each column from Claude. Pull data yourself; check random partners or all partners. Do NOT use the sheet as reference.</t>
  </si>
  <si>
    <t xml:space="preserve">Not Started</t>
  </si>
  <si>
    <t xml:space="preserve">After validation</t>
  </si>
  <si>
    <t xml:space="preserve">—</t>
  </si>
  <si>
    <t xml:space="preserve">If changes: push &amp; re-run last 8 weeks. Else: backfill full history.</t>
  </si>
  <si>
    <t xml:space="preserve">Region collection (Razorpay?)</t>
  </si>
  <si>
    <t xml:space="preserve">Mismatch – not added in MV</t>
  </si>
  <si>
    <t xml:space="preserve">Fix in MV</t>
  </si>
  <si>
    <t xml:space="preserve">Deposit threshold</t>
  </si>
  <si>
    <t xml:space="preserve">Logic</t>
  </si>
  <si>
    <t xml:space="preserve">Take at WEEK START, ACTIVE partners only</t>
  </si>
  <si>
    <t xml:space="preserve">OS to Deposit</t>
  </si>
  <si>
    <t xml:space="preserve">Matches</t>
  </si>
  <si>
    <t xml:space="preserve">Correct</t>
  </si>
  <si>
    <t xml:space="preserve">Total allotted days</t>
  </si>
  <si>
    <t xml:space="preserve">96% match</t>
  </si>
  <si>
    <t xml:space="preserve">Check edge cases (2 cars / stop-restart)</t>
  </si>
  <si>
    <t xml:space="preserve">Tenure days</t>
  </si>
  <si>
    <t xml:space="preserve">Mismatch</t>
  </si>
  <si>
    <t xml:space="preserve">MV is correct (tenure = LIFETIME); still spot-check</t>
  </si>
  <si>
    <t xml:space="preserve">Active days vs Rental days</t>
  </si>
  <si>
    <t xml:space="preserve">Rental matches, Active doesn't</t>
  </si>
  <si>
    <t xml:space="preserve">Different sources – check</t>
  </si>
  <si>
    <t xml:space="preserve">Last Jama (payment) date</t>
  </si>
  <si>
    <t xml:space="preserve">Unclear</t>
  </si>
  <si>
    <t xml:space="preserve">Check manually in MV</t>
  </si>
  <si>
    <t xml:space="preserve">Last car number</t>
  </si>
  <si>
    <t xml:space="preserve">New rule</t>
  </si>
  <si>
    <t xml:space="preserve">Show ALL cars allocated in driven week, comma-separated. Won't match sheet</t>
  </si>
  <si>
    <t xml:space="preserve">Week start / week end deposit</t>
  </si>
  <si>
    <t xml:space="preserve">Match</t>
  </si>
  <si>
    <t xml:space="preserve">OK</t>
  </si>
  <si>
    <t xml:space="preserve">In car recovery (driven week)</t>
  </si>
  <si>
    <t xml:space="preserve">MV False, manual True</t>
  </si>
  <si>
    <t xml:space="preserve">Check</t>
  </si>
  <si>
    <t xml:space="preserve">Bad debt collected</t>
  </si>
  <si>
    <t xml:space="preserve">MV 6,000, not in sheet</t>
  </si>
  <si>
    <t xml:space="preserve">MV is final</t>
  </si>
  <si>
    <t xml:space="preserve">Partner not paid 2 weeks</t>
  </si>
  <si>
    <t xml:space="preserve">88% match</t>
  </si>
  <si>
    <t xml:space="preserve">Cars under recovery (driven week)</t>
  </si>
  <si>
    <t xml:space="preserve">Appears twice; sheet 4 vs manual 10</t>
  </si>
  <si>
    <t xml:space="preserve">'Not required' column</t>
  </si>
  <si>
    <t xml:space="preserve">Remove</t>
  </si>
  <si>
    <t xml:space="preserve">ADD: Recovery %</t>
  </si>
  <si>
    <t xml:space="preserve">Missing</t>
  </si>
  <si>
    <t xml:space="preserve">Add (possibly for not-paid only)</t>
  </si>
  <si>
    <t xml:space="preserve">ADD: Deposit at Allocation</t>
  </si>
  <si>
    <t xml:space="preserve">Last allocation on/before the week → join deposit at that time. Partner level. Shows at what deposit we give cars</t>
  </si>
  <si>
    <t xml:space="preserve">Asset at Risk / Critical Risk</t>
  </si>
  <si>
    <t xml:space="preserve">Logic keeps changing</t>
  </si>
  <si>
    <t xml:space="preserve">Keep as sheet formula for now – don't move to MV</t>
  </si>
  <si>
    <t xml:space="preserve">India Collection – Row 5 'Every hour, 8 to 8' (3 links)</t>
  </si>
  <si>
    <t xml:space="preserve">Component</t>
  </si>
  <si>
    <t xml:space="preserve">Type / Frequency</t>
  </si>
  <si>
    <t xml:space="preserve">Details</t>
  </si>
  <si>
    <t xml:space="preserve">Pending action</t>
  </si>
  <si>
    <t xml:space="preserve">Collection Calling Rate</t>
  </si>
  <si>
    <t xml:space="preserve">Apps Script on sheet, every 2 hrs (1 hr too heavy)</t>
  </si>
  <si>
    <t xml:space="preserve">Writes to SHEET not table (table had duplication). Updates 4 tabs: Calling Raw (per lead per date calls), Session Raw (agent login/break per day), Partner Aggregate, Agent Aggregate. Central helper sheet – all other sheets import calling data from here. Dialer 'MM'(?); raw in PG lead call history; query runs per week separately. Campaign IDs in 'Area Aggregate' tab (Hyderabad added).</t>
  </si>
  <si>
    <t xml:space="preserve">Fix duplication &amp; move to table (~1 hr)</t>
  </si>
  <si>
    <t xml:space="preserve">Collection Agent Dash</t>
  </si>
  <si>
    <t xml:space="preserve">DAG</t>
  </si>
  <si>
    <t xml:space="preserve">Copies India Collection raw into 'Agent Action' tab. Agent mapping from each city sheet → 'Agent Mapping' tab on Week + ETID. Attempts/connects from calling sheet. Old Agent Action unchanged – feeds Agent Summary &amp; Agent Dash. New: city Calling Master List + mapping.</t>
  </si>
  <si>
    <t xml:space="preserve">Calculation Sheet → Calling Master List</t>
  </si>
  <si>
    <t xml:space="preserve">SQL Automation + Apps Script (moving to 1 DAG)</t>
  </si>
  <si>
    <t xml:space="preserve">See 'Calculation Sheet' and 'Tags &amp; Ranking' tabs. Pasted into each city's Calling Master List hourly.</t>
  </si>
  <si>
    <t xml:space="preserve">Raja to build single DAG</t>
  </si>
  <si>
    <t xml:space="preserve">Calculation Sheet (Master tab) – Agent Calling List</t>
  </si>
  <si>
    <t xml:space="preserve">Section</t>
  </si>
  <si>
    <t xml:space="preserve">Meaning</t>
  </si>
  <si>
    <t xml:space="preserve">Sources</t>
  </si>
  <si>
    <t xml:space="preserve">All tabs</t>
  </si>
  <si>
    <t xml:space="preserve">Filled by SQL Automation queries</t>
  </si>
  <si>
    <t xml:space="preserve">Calling data</t>
  </si>
  <si>
    <t xml:space="preserve">From Collection Calling sheet</t>
  </si>
  <si>
    <t xml:space="preserve">Collection List</t>
  </si>
  <si>
    <t xml:space="preserve">Pasted MANUALLY every Monday from India Collection link (latest week). To be replaced by MV</t>
  </si>
  <si>
    <t xml:space="preserve">Critical Risk</t>
  </si>
  <si>
    <t xml:space="preserve">Apps Script today → Raja building a DAG (runs on trigger)</t>
  </si>
  <si>
    <t xml:space="preserve">Known issue</t>
  </si>
  <si>
    <t xml:space="preserve">Daily Trip table late</t>
  </si>
  <si>
    <t xml:space="preserve">Trigger OFF. When Babul messages table is updated → run manually in SQL Automation. DAG will check table update</t>
  </si>
  <si>
    <t xml:space="preserve">Who is listed</t>
  </si>
  <si>
    <t xml:space="preserve">1</t>
  </si>
  <si>
    <t xml:space="preserve">Partners with hisaab (settlement) due</t>
  </si>
  <si>
    <t xml:space="preserve">2</t>
  </si>
  <si>
    <t xml:space="preserve">All current-week ACTIVE partners – for performance calling (critical risk = OS crossed deposit, or ND)</t>
  </si>
  <si>
    <t xml:space="preserve">Columns</t>
  </si>
  <si>
    <t xml:space="preserve">Lead ID</t>
  </si>
  <si>
    <t xml:space="preserve">For CRM lookup</t>
  </si>
  <si>
    <t xml:space="preserve">Name, City, Product type, ELC(?)</t>
  </si>
  <si>
    <t xml:space="preserve">Basic info</t>
  </si>
  <si>
    <t xml:space="preserve">Car numbers</t>
  </si>
  <si>
    <t xml:space="preserve">Allocated cars only, comma-separated; blank if returned</t>
  </si>
  <si>
    <t xml:space="preserve">Bucket</t>
  </si>
  <si>
    <t xml:space="preserve">Filter only</t>
  </si>
  <si>
    <t xml:space="preserve">OS, Paid, Net OS, %</t>
  </si>
  <si>
    <t xml:space="preserve">Net OS = still to pay this week</t>
  </si>
  <si>
    <t xml:space="preserve">Recovery split type, Current deposit</t>
  </si>
  <si>
    <t xml:space="preserve">Active / Inactive</t>
  </si>
  <si>
    <t xml:space="preserve">Allocated as of now</t>
  </si>
  <si>
    <t xml:space="preserve">Last payment habit</t>
  </si>
  <si>
    <t xml:space="preserve">Latest payment habit (payment habit raw query)</t>
  </si>
  <si>
    <t xml:space="preserve">Last week OS</t>
  </si>
  <si>
    <t xml:space="preserve">NEGATIVES only; positives show 0</t>
  </si>
  <si>
    <t xml:space="preserve">Live OS</t>
  </si>
  <si>
    <t xml:space="preserve">Both positive &amp; negative</t>
  </si>
  <si>
    <t xml:space="preserve">Car count, rent days, rent, fare, cash collected, over-subscription</t>
  </si>
  <si>
    <t xml:space="preserve">Last &amp; current week</t>
  </si>
  <si>
    <t xml:space="preserve">Total current OS / crossing deposit?</t>
  </si>
  <si>
    <t xml:space="preserve">Formula</t>
  </si>
  <si>
    <t xml:space="preserve">Car recovery flag</t>
  </si>
  <si>
    <t xml:space="preserve">From query</t>
  </si>
  <si>
    <t xml:space="preserve">Risk logic → Risk tag</t>
  </si>
  <si>
    <t xml:space="preserve">Per product tab (logic from Prabhu). Risk → critical risk calling</t>
  </si>
  <si>
    <t xml:space="preserve">Grey columns</t>
  </si>
  <si>
    <t xml:space="preserve">Active ND</t>
  </si>
  <si>
    <t xml:space="preserve">ND count, active days, GPS – current &amp; last week</t>
  </si>
  <si>
    <t xml:space="preserve">Last payment / last Jama date</t>
  </si>
  <si>
    <t xml:space="preserve">Total attempts &amp; connects; last attempt/connect/disposition</t>
  </si>
  <si>
    <t xml:space="preserve">MEO(?) only</t>
  </si>
  <si>
    <t xml:space="preserve">Green columns</t>
  </si>
  <si>
    <t xml:space="preserve">Today's attempts &amp; connects</t>
  </si>
  <si>
    <t xml:space="preserve">Pink (Sarthak ad-hoc)</t>
  </si>
  <si>
    <t xml:space="preserve">GPS yesterday</t>
  </si>
  <si>
    <t xml:space="preserve">0 = no GPS km; &gt;0 = ran</t>
  </si>
  <si>
    <t xml:space="preserve">Allocation time</t>
  </si>
  <si>
    <t xml:space="preserve">Joined/re-joined after 17 Aug vs older – different dead-km penalty rules</t>
  </si>
  <si>
    <t xml:space="preserve">Exchanging tab</t>
  </si>
  <si>
    <t xml:space="preserve">Static list from Gaurav/Sarthak: who gets penalty vs incentive (dead km only)</t>
  </si>
  <si>
    <t xml:space="preserve">Acceptance rate</t>
  </si>
  <si>
    <t xml:space="preserve">Trip slab / target</t>
  </si>
  <si>
    <t xml:space="preserve">Mumbai: last wk 0–15 trips → +5 more (~20); 15–30 → +10 more; &gt;30 → city base (Mumbai ≥40). Agents pitch to avoid dead-km penalty</t>
  </si>
  <si>
    <t xml:space="preserve">Other</t>
  </si>
  <si>
    <t xml:space="preserve">Yesterday remarks</t>
  </si>
  <si>
    <t xml:space="preserve">Agents fill dropdowns → pushed to backend table (collection mark list?) → returns to sheet</t>
  </si>
  <si>
    <t xml:space="preserve">Helper / ad-hoc columns</t>
  </si>
  <si>
    <t xml:space="preserve">Not required</t>
  </si>
  <si>
    <t xml:space="preserve">Flow</t>
  </si>
  <si>
    <t xml:space="preserve">Calculation sheet → each city's Calling Master List (hourly). Leads refreshed every morning. Agents fill dispositions during day</t>
  </si>
  <si>
    <t xml:space="preserve">Tags, Critical Freeze &amp; Ranking</t>
  </si>
  <si>
    <t xml:space="preserve">Topic</t>
  </si>
  <si>
    <t xml:space="preserve">Rule</t>
  </si>
  <si>
    <t xml:space="preserve">Tag 1 – Collection</t>
  </si>
  <si>
    <t xml:space="preserve">Full Paid / Partial Paid / Not Paid</t>
  </si>
  <si>
    <t xml:space="preserve">Tag 2 – Critical</t>
  </si>
  <si>
    <t xml:space="preserve">From risk logic (OS crossing deposit etc.)</t>
  </si>
  <si>
    <t xml:space="preserve">Tag 3 – ND</t>
  </si>
  <si>
    <t xml:space="preserve">Allocated YESTERDAY but ZERO Uber trips</t>
  </si>
  <si>
    <t xml:space="preserve">Tag 4 – Performance</t>
  </si>
  <si>
    <t xml:space="preserve">Added later</t>
  </si>
  <si>
    <t xml:space="preserve">Critical freeze</t>
  </si>
  <si>
    <t xml:space="preserve">8 AM daily after refresh (incl. daily trips) – list frozen as static</t>
  </si>
  <si>
    <t xml:space="preserve">Right column</t>
  </si>
  <si>
    <t xml:space="preserve">Only 'Critical' or 'Out of Critical' – morning count vs cleared during day</t>
  </si>
  <si>
    <t xml:space="preserve">Left column (Risk Type)</t>
  </si>
  <si>
    <t xml:space="preserve">Keeps changing – blank or Critical Risk</t>
  </si>
  <si>
    <t xml:space="preserve">Rank order</t>
  </si>
  <si>
    <t xml:space="preserve">1 Critical Risk → 2 Not Paid → 3 Partial Paid → 4 ND → 5 Rest</t>
  </si>
  <si>
    <t xml:space="preserve">Within group</t>
  </si>
  <si>
    <t xml:space="preserve">Highest total OS first; if OS equal, lowest recovery % first</t>
  </si>
  <si>
    <t xml:space="preserve">Per city</t>
  </si>
  <si>
    <t xml:space="preserve">Rank restarts at 1 for every city</t>
  </si>
  <si>
    <t xml:space="preserve">Dito Comments Calling Sheet (Sarthak)</t>
  </si>
  <si>
    <t xml:space="preserve">Item</t>
  </si>
  <si>
    <t xml:space="preserve">Purpose</t>
  </si>
  <si>
    <t xml:space="preserve">Check whether calls are actually made on master list</t>
  </si>
  <si>
    <t xml:space="preserve">Current state</t>
  </si>
  <si>
    <t xml:space="preserve">Manual; Raja planned daily morning trigger (by 11 AM)</t>
  </si>
  <si>
    <t xml:space="preserve">Data</t>
  </si>
  <si>
    <t xml:space="preserve">Raw via query; calling raw from Airflow</t>
  </si>
  <si>
    <t xml:space="preserve">Output</t>
  </si>
  <si>
    <t xml:space="preserve">Weekly &amp; Daily Summary: leads, attempts, connects, pitched</t>
  </si>
  <si>
    <t xml:space="preserve">Your action</t>
  </si>
  <si>
    <t xml:space="preserve">Nothing, as long as Calculation sheet is correct</t>
  </si>
  <si>
    <t xml:space="preserve">Central Car Recovery Dash</t>
  </si>
  <si>
    <t xml:space="preserve">Nothing to change now. Fully query-built (3 queries), runs on SQL Automation. Claude can modify</t>
  </si>
  <si>
    <t xml:space="preserve">Calling</t>
  </si>
  <si>
    <t xml:space="preserve">Not tracked – car recovery calls are manual</t>
  </si>
  <si>
    <t xml:space="preserve">GPS</t>
  </si>
  <si>
    <t xml:space="preserve">Daily GPS columns + last-12-week GPS check (formula)</t>
  </si>
  <si>
    <t xml:space="preserve">Amount</t>
  </si>
  <si>
    <t xml:space="preserve">Collected amount</t>
  </si>
  <si>
    <t xml:space="preserve">Legal tab</t>
  </si>
  <si>
    <t xml:space="preserve">Cases &gt;15 days → Legal (case filing / notice). Apps Script appends new from raw, refreshes old. Button 'Refresh Legal List' + hourly trigger</t>
  </si>
  <si>
    <t xml:space="preserve">Main dashboards</t>
  </si>
  <si>
    <t xml:space="preserve">Weekly Summary, City Deep Dive, Agent Summary (pending)</t>
  </si>
  <si>
    <t xml:space="preserve">Other tabs (later)</t>
  </si>
  <si>
    <t xml:space="preserve">Indicators (Prabhu), Pending Agent, Old NOW list, Car Recovery Vendors</t>
  </si>
  <si>
    <t xml:space="preserve">India Collection Sheet</t>
  </si>
  <si>
    <t xml:space="preserve">Main tab</t>
  </si>
  <si>
    <t xml:space="preserve">WBR View – city-wise comparison</t>
  </si>
  <si>
    <t xml:space="preserve">Summary – rarely used</t>
  </si>
  <si>
    <t xml:space="preserve">Version 2</t>
  </si>
  <si>
    <t xml:space="preserve">Prabhu: Old NOW old vs new structure; formula changes on including Old NOW deposit</t>
  </si>
  <si>
    <t xml:space="preserve">Default source</t>
  </si>
  <si>
    <t xml:space="preserve">Almost everything from Raw Data</t>
  </si>
  <si>
    <t xml:space="preserve">Exception</t>
  </si>
  <si>
    <t xml:space="preserve">Bottom 3 metrics – from Excellent/Defaulter tab &amp; HD Bucket</t>
  </si>
  <si>
    <t xml:space="preserve">City Target – not followed; cities to fill</t>
  </si>
  <si>
    <t xml:space="preserve">Non-Funnel – separate tab, manual by query; cannot go in MV table</t>
  </si>
  <si>
    <t xml:space="preserve">Advance Collection – separate tab, refreshed every Monday by query; includes positive OS. Can derive from MV (total OS − paid) but need advance-paid amount separately</t>
  </si>
  <si>
    <t xml:space="preserve">Deposit at Allocation – missing, to add</t>
  </si>
  <si>
    <t xml:space="preserve">From Raw</t>
  </si>
  <si>
    <t xml:space="preserve">Negative OS bifurcation, Carry Forward (formula)</t>
  </si>
  <si>
    <t xml:space="preserve">FUNNEL</t>
  </si>
  <si>
    <t xml:space="preserve">Per partner: their wind-up week OS (e.g. ₹27k). All later payments against that week (even 1–2 yrs later) = funnel recovery</t>
  </si>
  <si>
    <t xml:space="preserve">NON-FUNNEL</t>
  </si>
  <si>
    <t xml:space="preserve">E.g. week wind-up ₹10L, ₹5L collected – but old leavers also paying now; can't map to a week → tracked day-level by query</t>
  </si>
  <si>
    <t xml:space="preserve">Newsletter – every Wednesday (after weekly call)</t>
  </si>
  <si>
    <t xml:space="preserve">Step</t>
  </si>
  <si>
    <t xml:space="preserve">Action</t>
  </si>
  <si>
    <t xml:space="preserve">Install Claude skill Raja will share</t>
  </si>
  <si>
    <t xml:space="preserve">Download CSV: India Collection → WBR View</t>
  </si>
  <si>
    <t xml:space="preserve">Download CSV: HD Profile</t>
  </si>
  <si>
    <t xml:space="preserve">Download CSV: Central Car Recovery → Weekly Summary (star filter?)</t>
  </si>
  <si>
    <t xml:space="preserve">Give 3 CSVs to skill → ask it to create newsletter</t>
  </si>
  <si>
    <t xml:space="preserve">Ask Prabhu for Initiatives list → add it</t>
  </si>
  <si>
    <t xml:space="preserve">Agent Daily Tracking (manual, day-level collection)</t>
  </si>
  <si>
    <t xml:space="preserve">Monday</t>
  </si>
  <si>
    <t xml:space="preserve">Paste collection list 7 times (once per day of week), drag formulas</t>
  </si>
  <si>
    <t xml:space="preserve">Other columns</t>
  </si>
  <si>
    <t xml:space="preserve">Auto from SQL Automation</t>
  </si>
  <si>
    <t xml:space="preserve">Feeds</t>
  </si>
  <si>
    <t xml:space="preserve">Agent Summary, Live Dash, City Summary</t>
  </si>
  <si>
    <t xml:space="preserve">To do</t>
  </si>
  <si>
    <t xml:space="preserve">Holds 2 weeks – needs at least 4 weeks; automate once MV ready</t>
  </si>
  <si>
    <t xml:space="preserve">Pending build</t>
  </si>
  <si>
    <t xml:space="preserve">Dashboard for ND &amp; Critical calling counts</t>
  </si>
  <si>
    <t xml:space="preserve">Old NOW High-Risk Tracker (?) – manual</t>
  </si>
  <si>
    <t xml:space="preserve">Day</t>
  </si>
  <si>
    <t xml:space="preserve">Tuesday</t>
  </si>
  <si>
    <t xml:space="preserve">Calculation sheet → 'NOW High Risk' tab (formula) → copy list into tracker, drag formulas</t>
  </si>
  <si>
    <t xml:space="preserve">Fill RED columns manually (outcome after weekend)</t>
  </si>
  <si>
    <t xml:space="preserve">Car recovery counts – manually from Central Car Recovery raw data</t>
  </si>
  <si>
    <t xml:space="preserve">Organic drop-offs – from SSOT query</t>
  </si>
  <si>
    <t xml:space="preserve">'Paid' etc. are formulas</t>
  </si>
  <si>
    <t xml:space="preserve">EMAIL summary to cities</t>
  </si>
  <si>
    <t xml:space="preserve">Saturday</t>
  </si>
  <si>
    <t xml:space="preserve">Copy same columns again → Tuesday vs Saturday progress</t>
  </si>
  <si>
    <t xml:space="preserve">Note</t>
  </si>
  <si>
    <t xml:space="preserve">Stays manual for 2–3 more weeks</t>
  </si>
  <si>
    <t xml:space="preserve">Experiment Dashboard (data since June)</t>
  </si>
  <si>
    <t xml:space="preserve">Rule – new partners</t>
  </si>
  <si>
    <t xml:space="preserve">Pay by Wednesday → ₹175 cashback</t>
  </si>
  <si>
    <t xml:space="preserve">Rule – old partners</t>
  </si>
  <si>
    <t xml:space="preserve">Penalty if not paid by Wednesday</t>
  </si>
  <si>
    <t xml:space="preserve">Weekly step 1</t>
  </si>
  <si>
    <t xml:space="preserve">Update query for new week</t>
  </si>
  <si>
    <t xml:space="preserve">Weekly step 2</t>
  </si>
  <si>
    <t xml:space="preserve">Drag formulas (latest week = formula; older weeks pasted as values)</t>
  </si>
  <si>
    <t xml:space="preserve">Weekly step 3</t>
  </si>
  <si>
    <t xml:space="preserve">Add new week to dashboard by copy-paste</t>
  </si>
  <si>
    <t xml:space="preserve">Weekly call deck</t>
  </si>
  <si>
    <t xml:space="preserve">Duplicate last week → refresh links → delete city commentaries → tag cities</t>
  </si>
  <si>
    <t xml:space="preserve">Cash Block</t>
  </si>
  <si>
    <t xml:space="preserve">2 DAGs via API; Santosh handles; city issues to Tech. Get walkthrough (meeting not scheduled)</t>
  </si>
  <si>
    <t xml:space="preserve">Deprecated – Incentive sheet</t>
  </si>
  <si>
    <t xml:space="preserve">Driver Ops (you own). Month start for Rahul Lal: weekly → monthly, manual</t>
  </si>
  <si>
    <t xml:space="preserve">Deprecated – General Bad Debt Tracker</t>
  </si>
  <si>
    <t xml:space="preserve">Retire once MV live, after pushing back data</t>
  </si>
  <si>
    <t xml:space="preserve">Ownership</t>
  </si>
  <si>
    <t xml:space="preserve">Take owner access of all sheets/scripts; duplicate for yourself</t>
  </si>
  <si>
    <t xml:space="preserve">Task</t>
  </si>
  <si>
    <t xml:space="preserve">Daily 8 AM</t>
  </si>
  <si>
    <t xml:space="preserve">Calculation sheet refresh + critical freeze. Run manually when Babul confirms Daily Trip table</t>
  </si>
  <si>
    <t xml:space="preserve">Daily ~11 AM</t>
  </si>
  <si>
    <t xml:space="preserve">Dito Comments Calling refresh</t>
  </si>
  <si>
    <t xml:space="preserve">Paste Collection List (Calculation sheet); Agent Daily Tracking ×7; refresh Advance Collection; Non-Funnel by query</t>
  </si>
  <si>
    <t xml:space="preserve">Old NOW High-Risk list → email cities</t>
  </si>
  <si>
    <t xml:space="preserve">Wednesday</t>
  </si>
  <si>
    <t xml:space="preserve">Weekly call deck → Newsletter</t>
  </si>
  <si>
    <t xml:space="preserve">Old NOW High-Risk progress update</t>
  </si>
  <si>
    <t xml:space="preserve">Month start</t>
  </si>
  <si>
    <t xml:space="preserve">Incentive monthly sheet (Rahul Lal)</t>
  </si>
  <si>
    <t xml:space="preserve">Open To-Do List</t>
  </si>
  <si>
    <t xml:space="preserve">Owner</t>
  </si>
  <si>
    <t xml:space="preserve">Validate MV for 1 week (open items in MV Validation tab) → re-push 8 weeks or backfill</t>
  </si>
  <si>
    <t xml:space="preserve">Mithun</t>
  </si>
  <si>
    <t xml:space="preserve">Add Deposit at Allocation + Recovery % to MV</t>
  </si>
  <si>
    <t xml:space="preserve">Move calling script from sheet to table (fix duplication)</t>
  </si>
  <si>
    <t xml:space="preserve">Single DAG: Calculation sheet, critical freeze, ranking, city paste, Daily Trip check</t>
  </si>
  <si>
    <t xml:space="preserve">Raja</t>
  </si>
  <si>
    <t xml:space="preserve">Replace Monday Collection List paste with MV</t>
  </si>
  <si>
    <t xml:space="preserve">Agent Daily Tracking: extend to 4 weeks + automate</t>
  </si>
  <si>
    <t xml:space="preserve">Build ND/Critical calling dashboard</t>
  </si>
  <si>
    <t xml:space="preserve">Queries for Non-Funnel &amp; Advance Collection</t>
  </si>
  <si>
    <t xml:space="preserve">Cash Block walkthrough with Santosh</t>
  </si>
  <si>
    <t xml:space="preserve">Transfer ownership of all sheets &amp; scripts</t>
  </si>
  <si>
    <t xml:space="preserve">Mithun / Raja</t>
  </si>
  <si>
    <t xml:space="preserve">Get newsletter Claude skill from Raja</t>
  </si>
  <si>
    <t xml:space="preserve">Done count</t>
  </si>
  <si>
    <t xml:space="preserve">Unclear Terms – Confirm with Raja</t>
  </si>
  <si>
    <t xml:space="preserve">Heard as</t>
  </si>
  <si>
    <t xml:space="preserve">Best guess / context</t>
  </si>
  <si>
    <t xml:space="preserve">Razorpay (?)</t>
  </si>
  <si>
    <t xml:space="preserve">Region-level collection mismatch in MV</t>
  </si>
  <si>
    <t xml:space="preserve">MM</t>
  </si>
  <si>
    <t xml:space="preserve">Dialer used for collection calling</t>
  </si>
  <si>
    <t xml:space="preserve">ELC</t>
  </si>
  <si>
    <t xml:space="preserve">Column in Calculation sheet after product type</t>
  </si>
  <si>
    <t xml:space="preserve">Old NOW / In NOW</t>
  </si>
  <si>
    <t xml:space="preserve">Product / partner category in High-Risk tracker</t>
  </si>
  <si>
    <t xml:space="preserve">Collection mark list</t>
  </si>
  <si>
    <t xml:space="preserve">Backend table for agent remarks</t>
  </si>
  <si>
    <t xml:space="preserve">Star filter</t>
  </si>
  <si>
    <t xml:space="preserve">Filter on Car Recovery Weekly Summary before CSV download</t>
  </si>
  <si>
    <t xml:space="preserve">MEO</t>
  </si>
  <si>
    <t xml:space="preserve">Last attempt/connect/disposition applies to this only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</si>
</sst>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n">
        <v>1</v>
      </c>
      <c r="B5" s="4" t="s">
        <v>5</v>
      </c>
      <c r="C5" s="4" t="s">
        <v>6</v>
      </c>
    </row>
    <row r="6" customFormat="false" ht="15" hidden="false" customHeight="false" outlineLevel="0" collapsed="false">
      <c r="A6" s="5" t="n">
        <v>2</v>
      </c>
      <c r="B6" s="5" t="s">
        <v>7</v>
      </c>
      <c r="C6" s="5" t="s">
        <v>8</v>
      </c>
    </row>
    <row r="7" customFormat="false" ht="15" hidden="false" customHeight="false" outlineLevel="0" collapsed="false">
      <c r="A7" s="4" t="n">
        <v>3</v>
      </c>
      <c r="B7" s="4" t="s">
        <v>9</v>
      </c>
      <c r="C7" s="4" t="s">
        <v>10</v>
      </c>
    </row>
    <row r="8" customFormat="false" ht="15" hidden="false" customHeight="false" outlineLevel="0" collapsed="false">
      <c r="A8" s="5" t="n">
        <v>4</v>
      </c>
      <c r="B8" s="5" t="s">
        <v>11</v>
      </c>
      <c r="C8" s="5" t="s">
        <v>12</v>
      </c>
    </row>
    <row r="9" customFormat="false" ht="15" hidden="false" customHeight="false" outlineLevel="0" collapsed="false">
      <c r="A9" s="4" t="n">
        <v>5</v>
      </c>
      <c r="B9" s="4" t="s">
        <v>13</v>
      </c>
      <c r="C9" s="4" t="s">
        <v>14</v>
      </c>
    </row>
    <row r="10" customFormat="false" ht="15" hidden="false" customHeight="false" outlineLevel="0" collapsed="false">
      <c r="A10" s="5" t="n">
        <v>6</v>
      </c>
      <c r="B10" s="5" t="s">
        <v>15</v>
      </c>
      <c r="C10" s="5" t="s">
        <v>16</v>
      </c>
    </row>
    <row r="11" customFormat="false" ht="15" hidden="false" customHeight="false" outlineLevel="0" collapsed="false">
      <c r="A11" s="4" t="n">
        <v>7</v>
      </c>
      <c r="B11" s="4" t="s">
        <v>17</v>
      </c>
      <c r="C11" s="4" t="s">
        <v>18</v>
      </c>
    </row>
    <row r="12" customFormat="false" ht="15" hidden="false" customHeight="false" outlineLevel="0" collapsed="false">
      <c r="A12" s="5" t="n">
        <v>8</v>
      </c>
      <c r="B12" s="5" t="s">
        <v>19</v>
      </c>
      <c r="C12" s="5" t="s">
        <v>20</v>
      </c>
    </row>
    <row r="13" customFormat="false" ht="15" hidden="false" customHeight="false" outlineLevel="0" collapsed="false">
      <c r="A13" s="4" t="n">
        <v>9</v>
      </c>
      <c r="B13" s="4" t="s">
        <v>21</v>
      </c>
      <c r="C13" s="4" t="s">
        <v>22</v>
      </c>
    </row>
    <row r="14" customFormat="false" ht="15" hidden="false" customHeight="false" outlineLevel="0" collapsed="false">
      <c r="A14" s="5" t="n">
        <v>10</v>
      </c>
      <c r="B14" s="5" t="s">
        <v>23</v>
      </c>
      <c r="C14" s="5" t="s">
        <v>24</v>
      </c>
    </row>
    <row r="15" customFormat="false" ht="15" hidden="false" customHeight="false" outlineLevel="0" collapsed="false">
      <c r="A15" s="4" t="n">
        <v>11</v>
      </c>
      <c r="B15" s="4" t="s">
        <v>25</v>
      </c>
      <c r="C15" s="4" t="s">
        <v>26</v>
      </c>
    </row>
    <row r="16" customFormat="false" ht="15" hidden="false" customHeight="false" outlineLevel="0" collapsed="false">
      <c r="A16" s="5" t="n">
        <v>12</v>
      </c>
      <c r="B16" s="5" t="s">
        <v>27</v>
      </c>
      <c r="C16" s="5" t="s">
        <v>28</v>
      </c>
    </row>
    <row r="17" customFormat="false" ht="15" hidden="false" customHeight="false" outlineLevel="0" collapsed="false">
      <c r="A17" s="4" t="n">
        <v>13</v>
      </c>
      <c r="B17" s="4" t="s">
        <v>29</v>
      </c>
      <c r="C17" s="4" t="s">
        <v>30</v>
      </c>
    </row>
    <row r="18" customFormat="false" ht="15" hidden="false" customHeight="false" outlineLevel="0" collapsed="false">
      <c r="A18" s="5" t="n">
        <v>14</v>
      </c>
      <c r="B18" s="5" t="s">
        <v>31</v>
      </c>
      <c r="C18" s="5" t="s">
        <v>32</v>
      </c>
    </row>
    <row r="19" customFormat="false" ht="15" hidden="false" customHeight="false" outlineLevel="0" collapsed="false">
      <c r="A19" s="4" t="n">
        <v>15</v>
      </c>
      <c r="B19" s="4" t="s">
        <v>33</v>
      </c>
      <c r="C19" s="4" t="s">
        <v>34</v>
      </c>
    </row>
    <row r="21" customFormat="false" ht="15" hidden="false" customHeight="false" outlineLevel="0" collapsed="false">
      <c r="A21" s="6" t="s">
        <v>35</v>
      </c>
    </row>
    <row r="22" customFormat="false" ht="15" hidden="false" customHeight="false" outlineLevel="0" collapsed="false">
      <c r="A22" s="6" t="s">
        <v>36</v>
      </c>
    </row>
    <row r="23" customFormat="false" ht="15" hidden="false" customHeight="false" outlineLevel="0" collapsed="false">
      <c r="A23" s="6" t="s">
        <v>37</v>
      </c>
    </row>
    <row r="24" customFormat="false" ht="15" hidden="false" customHeight="false" outlineLevel="0" collapsed="false">
      <c r="A24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</row>
    <row r="5" customFormat="false" ht="23.85" hidden="false" customHeight="fals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/>
    </row>
    <row r="6" customFormat="false" ht="15" hidden="false" customHeight="false" outlineLevel="0" collapsed="false">
      <c r="A6" s="5" t="s">
        <v>49</v>
      </c>
      <c r="B6" s="5" t="s">
        <v>50</v>
      </c>
      <c r="C6" s="5" t="s">
        <v>51</v>
      </c>
      <c r="D6" s="5" t="s">
        <v>48</v>
      </c>
      <c r="E6" s="5"/>
    </row>
    <row r="7" customFormat="false" ht="15" hidden="false" customHeight="false" outlineLevel="0" collapsed="false">
      <c r="A7" s="4" t="s">
        <v>52</v>
      </c>
      <c r="B7" s="4" t="s">
        <v>53</v>
      </c>
      <c r="C7" s="4" t="s">
        <v>54</v>
      </c>
      <c r="D7" s="4" t="s">
        <v>48</v>
      </c>
      <c r="E7" s="4"/>
    </row>
    <row r="8" customFormat="false" ht="15" hidden="false" customHeight="false" outlineLevel="0" collapsed="false">
      <c r="A8" s="5" t="s">
        <v>55</v>
      </c>
      <c r="B8" s="5" t="s">
        <v>56</v>
      </c>
      <c r="C8" s="5" t="s">
        <v>57</v>
      </c>
      <c r="D8" s="5" t="s">
        <v>48</v>
      </c>
      <c r="E8" s="5"/>
    </row>
    <row r="9" customFormat="false" ht="15" hidden="false" customHeight="false" outlineLevel="0" collapsed="false">
      <c r="A9" s="4" t="s">
        <v>58</v>
      </c>
      <c r="B9" s="4" t="s">
        <v>59</v>
      </c>
      <c r="C9" s="4" t="s">
        <v>60</v>
      </c>
      <c r="D9" s="4" t="s">
        <v>48</v>
      </c>
      <c r="E9" s="4"/>
    </row>
    <row r="10" customFormat="false" ht="15" hidden="false" customHeight="false" outlineLevel="0" collapsed="false">
      <c r="A10" s="5" t="s">
        <v>61</v>
      </c>
      <c r="B10" s="5" t="s">
        <v>62</v>
      </c>
      <c r="C10" s="5" t="s">
        <v>63</v>
      </c>
      <c r="D10" s="5" t="s">
        <v>48</v>
      </c>
      <c r="E10" s="5"/>
    </row>
    <row r="11" customFormat="false" ht="15" hidden="false" customHeight="false" outlineLevel="0" collapsed="false">
      <c r="A11" s="4" t="s">
        <v>64</v>
      </c>
      <c r="B11" s="4" t="s">
        <v>65</v>
      </c>
      <c r="C11" s="4" t="s">
        <v>66</v>
      </c>
      <c r="D11" s="4" t="s">
        <v>48</v>
      </c>
      <c r="E11" s="4"/>
    </row>
    <row r="12" customFormat="false" ht="15" hidden="false" customHeight="false" outlineLevel="0" collapsed="false">
      <c r="A12" s="5" t="s">
        <v>67</v>
      </c>
      <c r="B12" s="5" t="s">
        <v>68</v>
      </c>
      <c r="C12" s="5" t="s">
        <v>69</v>
      </c>
      <c r="D12" s="5" t="s">
        <v>48</v>
      </c>
      <c r="E12" s="5"/>
    </row>
    <row r="13" customFormat="false" ht="15" hidden="false" customHeight="false" outlineLevel="0" collapsed="false">
      <c r="A13" s="4" t="s">
        <v>70</v>
      </c>
      <c r="B13" s="4" t="s">
        <v>71</v>
      </c>
      <c r="C13" s="4" t="s">
        <v>72</v>
      </c>
      <c r="D13" s="4" t="s">
        <v>48</v>
      </c>
      <c r="E13" s="4"/>
    </row>
    <row r="14" customFormat="false" ht="15" hidden="false" customHeight="false" outlineLevel="0" collapsed="false">
      <c r="A14" s="5" t="s">
        <v>73</v>
      </c>
      <c r="B14" s="5" t="s">
        <v>74</v>
      </c>
      <c r="C14" s="5" t="s">
        <v>75</v>
      </c>
      <c r="D14" s="5" t="s">
        <v>48</v>
      </c>
      <c r="E14" s="5"/>
    </row>
    <row r="15" customFormat="false" ht="15" hidden="false" customHeight="false" outlineLevel="0" collapsed="false">
      <c r="A15" s="4" t="s">
        <v>76</v>
      </c>
      <c r="B15" s="4" t="s">
        <v>77</v>
      </c>
      <c r="C15" s="4" t="s">
        <v>78</v>
      </c>
      <c r="D15" s="4" t="s">
        <v>48</v>
      </c>
      <c r="E15" s="4"/>
    </row>
    <row r="16" customFormat="false" ht="15" hidden="false" customHeight="false" outlineLevel="0" collapsed="false">
      <c r="A16" s="5" t="s">
        <v>79</v>
      </c>
      <c r="B16" s="5" t="s">
        <v>80</v>
      </c>
      <c r="C16" s="5" t="s">
        <v>81</v>
      </c>
      <c r="D16" s="5" t="s">
        <v>48</v>
      </c>
      <c r="E16" s="5"/>
    </row>
    <row r="17" customFormat="false" ht="15" hidden="false" customHeight="false" outlineLevel="0" collapsed="false">
      <c r="A17" s="4" t="s">
        <v>82</v>
      </c>
      <c r="B17" s="4" t="s">
        <v>83</v>
      </c>
      <c r="C17" s="4" t="s">
        <v>84</v>
      </c>
      <c r="D17" s="4" t="s">
        <v>48</v>
      </c>
      <c r="E17" s="4"/>
    </row>
    <row r="18" customFormat="false" ht="15" hidden="false" customHeight="false" outlineLevel="0" collapsed="false">
      <c r="A18" s="5" t="s">
        <v>85</v>
      </c>
      <c r="B18" s="5" t="s">
        <v>86</v>
      </c>
      <c r="C18" s="5" t="s">
        <v>81</v>
      </c>
      <c r="D18" s="5" t="s">
        <v>48</v>
      </c>
      <c r="E18" s="5"/>
    </row>
    <row r="19" customFormat="false" ht="15" hidden="false" customHeight="false" outlineLevel="0" collapsed="false">
      <c r="A19" s="4" t="s">
        <v>87</v>
      </c>
      <c r="B19" s="4" t="s">
        <v>88</v>
      </c>
      <c r="C19" s="4" t="s">
        <v>81</v>
      </c>
      <c r="D19" s="4" t="s">
        <v>48</v>
      </c>
      <c r="E19" s="4"/>
    </row>
    <row r="20" customFormat="false" ht="15" hidden="false" customHeight="false" outlineLevel="0" collapsed="false">
      <c r="A20" s="5" t="s">
        <v>89</v>
      </c>
      <c r="B20" s="5" t="s">
        <v>50</v>
      </c>
      <c r="C20" s="5" t="s">
        <v>90</v>
      </c>
      <c r="D20" s="5" t="s">
        <v>48</v>
      </c>
      <c r="E20" s="5"/>
    </row>
    <row r="21" customFormat="false" ht="15" hidden="false" customHeight="false" outlineLevel="0" collapsed="false">
      <c r="A21" s="4" t="s">
        <v>91</v>
      </c>
      <c r="B21" s="4" t="s">
        <v>92</v>
      </c>
      <c r="C21" s="4" t="s">
        <v>93</v>
      </c>
      <c r="D21" s="4" t="s">
        <v>48</v>
      </c>
      <c r="E21" s="4"/>
    </row>
    <row r="22" customFormat="false" ht="23.85" hidden="false" customHeight="false" outlineLevel="0" collapsed="false">
      <c r="A22" s="5" t="s">
        <v>94</v>
      </c>
      <c r="B22" s="5" t="s">
        <v>92</v>
      </c>
      <c r="C22" s="5" t="s">
        <v>95</v>
      </c>
      <c r="D22" s="5" t="s">
        <v>48</v>
      </c>
      <c r="E22" s="5"/>
    </row>
    <row r="23" customFormat="false" ht="15" hidden="false" customHeight="false" outlineLevel="0" collapsed="false">
      <c r="A23" s="4" t="s">
        <v>96</v>
      </c>
      <c r="B23" s="4" t="s">
        <v>97</v>
      </c>
      <c r="C23" s="4" t="s">
        <v>98</v>
      </c>
      <c r="D23" s="4" t="s">
        <v>48</v>
      </c>
      <c r="E23" s="4"/>
    </row>
  </sheetData>
  <dataValidations count="1">
    <dataValidation allowBlank="true" errorStyle="stop" operator="between" showDropDown="false" showErrorMessage="false" showInputMessage="false" sqref="D5:D23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80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100</v>
      </c>
      <c r="B4" s="3" t="s">
        <v>101</v>
      </c>
      <c r="C4" s="3" t="s">
        <v>102</v>
      </c>
      <c r="D4" s="3" t="s">
        <v>103</v>
      </c>
    </row>
    <row r="5" customFormat="false" ht="46.25" hidden="false" customHeight="false" outlineLevel="0" collapsed="false">
      <c r="A5" s="4" t="s">
        <v>104</v>
      </c>
      <c r="B5" s="4" t="s">
        <v>105</v>
      </c>
      <c r="C5" s="4" t="s">
        <v>106</v>
      </c>
      <c r="D5" s="4" t="s">
        <v>107</v>
      </c>
    </row>
    <row r="6" customFormat="false" ht="35.05" hidden="false" customHeight="false" outlineLevel="0" collapsed="false">
      <c r="A6" s="5" t="s">
        <v>108</v>
      </c>
      <c r="B6" s="5" t="s">
        <v>109</v>
      </c>
      <c r="C6" s="5" t="s">
        <v>110</v>
      </c>
      <c r="D6" s="5" t="s">
        <v>50</v>
      </c>
    </row>
    <row r="7" customFormat="false" ht="23.85" hidden="false" customHeight="false" outlineLevel="0" collapsed="false">
      <c r="A7" s="4" t="s">
        <v>111</v>
      </c>
      <c r="B7" s="4" t="s">
        <v>112</v>
      </c>
      <c r="C7" s="4" t="s">
        <v>113</v>
      </c>
      <c r="D7" s="4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116</v>
      </c>
      <c r="B4" s="3" t="s">
        <v>40</v>
      </c>
      <c r="C4" s="3" t="s">
        <v>117</v>
      </c>
    </row>
    <row r="5" customFormat="false" ht="15" hidden="false" customHeight="false" outlineLevel="0" collapsed="false">
      <c r="A5" s="4" t="s">
        <v>118</v>
      </c>
      <c r="B5" s="4" t="s">
        <v>119</v>
      </c>
      <c r="C5" s="4" t="s">
        <v>120</v>
      </c>
    </row>
    <row r="6" customFormat="false" ht="15" hidden="false" customHeight="false" outlineLevel="0" collapsed="false">
      <c r="A6" s="5" t="s">
        <v>118</v>
      </c>
      <c r="B6" s="5" t="s">
        <v>121</v>
      </c>
      <c r="C6" s="5" t="s">
        <v>122</v>
      </c>
    </row>
    <row r="7" customFormat="false" ht="15" hidden="false" customHeight="false" outlineLevel="0" collapsed="false">
      <c r="A7" s="4" t="s">
        <v>118</v>
      </c>
      <c r="B7" s="4" t="s">
        <v>123</v>
      </c>
      <c r="C7" s="4" t="s">
        <v>124</v>
      </c>
    </row>
    <row r="8" customFormat="false" ht="15" hidden="false" customHeight="false" outlineLevel="0" collapsed="false">
      <c r="A8" s="5" t="s">
        <v>118</v>
      </c>
      <c r="B8" s="5" t="s">
        <v>125</v>
      </c>
      <c r="C8" s="5" t="s">
        <v>126</v>
      </c>
    </row>
    <row r="9" customFormat="false" ht="23.85" hidden="false" customHeight="false" outlineLevel="0" collapsed="false">
      <c r="A9" s="4" t="s">
        <v>127</v>
      </c>
      <c r="B9" s="4" t="s">
        <v>128</v>
      </c>
      <c r="C9" s="4" t="s">
        <v>129</v>
      </c>
    </row>
    <row r="10" customFormat="false" ht="15" hidden="false" customHeight="false" outlineLevel="0" collapsed="false">
      <c r="A10" s="5" t="s">
        <v>130</v>
      </c>
      <c r="B10" s="5" t="s">
        <v>131</v>
      </c>
      <c r="C10" s="5" t="s">
        <v>132</v>
      </c>
    </row>
    <row r="11" customFormat="false" ht="23.85" hidden="false" customHeight="false" outlineLevel="0" collapsed="false">
      <c r="A11" s="4" t="s">
        <v>130</v>
      </c>
      <c r="B11" s="4" t="s">
        <v>133</v>
      </c>
      <c r="C11" s="4" t="s">
        <v>134</v>
      </c>
    </row>
    <row r="12" customFormat="false" ht="15" hidden="false" customHeight="false" outlineLevel="0" collapsed="false">
      <c r="A12" s="5" t="s">
        <v>135</v>
      </c>
      <c r="B12" s="5" t="s">
        <v>136</v>
      </c>
      <c r="C12" s="5" t="s">
        <v>137</v>
      </c>
    </row>
    <row r="13" customFormat="false" ht="15" hidden="false" customHeight="false" outlineLevel="0" collapsed="false">
      <c r="A13" s="4" t="s">
        <v>135</v>
      </c>
      <c r="B13" s="4" t="s">
        <v>138</v>
      </c>
      <c r="C13" s="4" t="s">
        <v>139</v>
      </c>
    </row>
    <row r="14" customFormat="false" ht="15" hidden="false" customHeight="false" outlineLevel="0" collapsed="false">
      <c r="A14" s="5" t="s">
        <v>135</v>
      </c>
      <c r="B14" s="5" t="s">
        <v>140</v>
      </c>
      <c r="C14" s="5" t="s">
        <v>141</v>
      </c>
    </row>
    <row r="15" customFormat="false" ht="15" hidden="false" customHeight="false" outlineLevel="0" collapsed="false">
      <c r="A15" s="4" t="s">
        <v>135</v>
      </c>
      <c r="B15" s="4" t="s">
        <v>142</v>
      </c>
      <c r="C15" s="4" t="s">
        <v>143</v>
      </c>
    </row>
    <row r="16" customFormat="false" ht="15" hidden="false" customHeight="false" outlineLevel="0" collapsed="false">
      <c r="A16" s="5" t="s">
        <v>135</v>
      </c>
      <c r="B16" s="5" t="s">
        <v>144</v>
      </c>
      <c r="C16" s="5" t="s">
        <v>145</v>
      </c>
    </row>
    <row r="17" customFormat="false" ht="15" hidden="false" customHeight="false" outlineLevel="0" collapsed="false">
      <c r="A17" s="4" t="s">
        <v>135</v>
      </c>
      <c r="B17" s="4" t="s">
        <v>146</v>
      </c>
      <c r="C17" s="4" t="s">
        <v>50</v>
      </c>
    </row>
    <row r="18" customFormat="false" ht="15" hidden="false" customHeight="false" outlineLevel="0" collapsed="false">
      <c r="A18" s="5" t="s">
        <v>135</v>
      </c>
      <c r="B18" s="5" t="s">
        <v>147</v>
      </c>
      <c r="C18" s="5" t="s">
        <v>148</v>
      </c>
    </row>
    <row r="19" customFormat="false" ht="15" hidden="false" customHeight="false" outlineLevel="0" collapsed="false">
      <c r="A19" s="4" t="s">
        <v>135</v>
      </c>
      <c r="B19" s="4" t="s">
        <v>149</v>
      </c>
      <c r="C19" s="4" t="s">
        <v>150</v>
      </c>
    </row>
    <row r="20" customFormat="false" ht="15" hidden="false" customHeight="false" outlineLevel="0" collapsed="false">
      <c r="A20" s="5" t="s">
        <v>135</v>
      </c>
      <c r="B20" s="5" t="s">
        <v>151</v>
      </c>
      <c r="C20" s="5" t="s">
        <v>152</v>
      </c>
    </row>
    <row r="21" customFormat="false" ht="15" hidden="false" customHeight="false" outlineLevel="0" collapsed="false">
      <c r="A21" s="4" t="s">
        <v>135</v>
      </c>
      <c r="B21" s="4" t="s">
        <v>153</v>
      </c>
      <c r="C21" s="4" t="s">
        <v>154</v>
      </c>
    </row>
    <row r="22" customFormat="false" ht="23.85" hidden="false" customHeight="false" outlineLevel="0" collapsed="false">
      <c r="A22" s="5" t="s">
        <v>135</v>
      </c>
      <c r="B22" s="5" t="s">
        <v>155</v>
      </c>
      <c r="C22" s="5" t="s">
        <v>156</v>
      </c>
    </row>
    <row r="23" customFormat="false" ht="15" hidden="false" customHeight="false" outlineLevel="0" collapsed="false">
      <c r="A23" s="4" t="s">
        <v>135</v>
      </c>
      <c r="B23" s="4" t="s">
        <v>157</v>
      </c>
      <c r="C23" s="4" t="s">
        <v>158</v>
      </c>
    </row>
    <row r="24" customFormat="false" ht="15" hidden="false" customHeight="false" outlineLevel="0" collapsed="false">
      <c r="A24" s="5" t="s">
        <v>135</v>
      </c>
      <c r="B24" s="5" t="s">
        <v>159</v>
      </c>
      <c r="C24" s="5" t="s">
        <v>160</v>
      </c>
    </row>
    <row r="25" customFormat="false" ht="15" hidden="false" customHeight="false" outlineLevel="0" collapsed="false">
      <c r="A25" s="4" t="s">
        <v>135</v>
      </c>
      <c r="B25" s="4" t="s">
        <v>161</v>
      </c>
      <c r="C25" s="4" t="s">
        <v>162</v>
      </c>
    </row>
    <row r="26" customFormat="false" ht="15" hidden="false" customHeight="false" outlineLevel="0" collapsed="false">
      <c r="A26" s="5" t="s">
        <v>163</v>
      </c>
      <c r="B26" s="5" t="s">
        <v>164</v>
      </c>
      <c r="C26" s="5" t="s">
        <v>165</v>
      </c>
    </row>
    <row r="27" customFormat="false" ht="15" hidden="false" customHeight="false" outlineLevel="0" collapsed="false">
      <c r="A27" s="4" t="s">
        <v>135</v>
      </c>
      <c r="B27" s="4" t="s">
        <v>166</v>
      </c>
      <c r="C27" s="4" t="s">
        <v>50</v>
      </c>
    </row>
    <row r="28" customFormat="false" ht="23.85" hidden="false" customHeight="false" outlineLevel="0" collapsed="false">
      <c r="A28" s="5" t="s">
        <v>135</v>
      </c>
      <c r="B28" s="5" t="s">
        <v>167</v>
      </c>
      <c r="C28" s="5" t="s">
        <v>168</v>
      </c>
    </row>
    <row r="29" customFormat="false" ht="15" hidden="false" customHeight="false" outlineLevel="0" collapsed="false">
      <c r="A29" s="4" t="s">
        <v>169</v>
      </c>
      <c r="B29" s="4" t="s">
        <v>170</v>
      </c>
      <c r="C29" s="4" t="s">
        <v>50</v>
      </c>
    </row>
    <row r="30" customFormat="false" ht="15" hidden="false" customHeight="false" outlineLevel="0" collapsed="false">
      <c r="A30" s="5" t="s">
        <v>171</v>
      </c>
      <c r="B30" s="5" t="s">
        <v>172</v>
      </c>
      <c r="C30" s="5" t="s">
        <v>173</v>
      </c>
    </row>
    <row r="31" customFormat="false" ht="15" hidden="false" customHeight="false" outlineLevel="0" collapsed="false">
      <c r="A31" s="4" t="s">
        <v>171</v>
      </c>
      <c r="B31" s="4" t="s">
        <v>174</v>
      </c>
      <c r="C31" s="4" t="s">
        <v>175</v>
      </c>
    </row>
    <row r="32" customFormat="false" ht="15" hidden="false" customHeight="false" outlineLevel="0" collapsed="false">
      <c r="A32" s="5" t="s">
        <v>171</v>
      </c>
      <c r="B32" s="5" t="s">
        <v>176</v>
      </c>
      <c r="C32" s="5" t="s">
        <v>177</v>
      </c>
    </row>
    <row r="33" customFormat="false" ht="15" hidden="false" customHeight="false" outlineLevel="0" collapsed="false">
      <c r="A33" s="4" t="s">
        <v>171</v>
      </c>
      <c r="B33" s="4" t="s">
        <v>178</v>
      </c>
      <c r="C33" s="4" t="s">
        <v>50</v>
      </c>
    </row>
    <row r="34" customFormat="false" ht="23.85" hidden="false" customHeight="false" outlineLevel="0" collapsed="false">
      <c r="A34" s="5" t="s">
        <v>171</v>
      </c>
      <c r="B34" s="5" t="s">
        <v>179</v>
      </c>
      <c r="C34" s="5" t="s">
        <v>180</v>
      </c>
    </row>
    <row r="35" customFormat="false" ht="15" hidden="false" customHeight="false" outlineLevel="0" collapsed="false">
      <c r="A35" s="4" t="s">
        <v>181</v>
      </c>
      <c r="B35" s="4" t="s">
        <v>182</v>
      </c>
      <c r="C35" s="4" t="s">
        <v>183</v>
      </c>
    </row>
    <row r="36" customFormat="false" ht="15" hidden="false" customHeight="false" outlineLevel="0" collapsed="false">
      <c r="A36" s="5" t="s">
        <v>181</v>
      </c>
      <c r="B36" s="5" t="s">
        <v>184</v>
      </c>
      <c r="C36" s="5" t="s">
        <v>185</v>
      </c>
    </row>
    <row r="37" customFormat="false" ht="23.85" hidden="false" customHeight="false" outlineLevel="0" collapsed="false">
      <c r="A37" s="4" t="s">
        <v>186</v>
      </c>
      <c r="B37" s="4" t="s">
        <v>50</v>
      </c>
      <c r="C37" s="4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189</v>
      </c>
      <c r="B4" s="3" t="s">
        <v>190</v>
      </c>
    </row>
    <row r="5" customFormat="false" ht="15" hidden="false" customHeight="false" outlineLevel="0" collapsed="false">
      <c r="A5" s="4" t="s">
        <v>191</v>
      </c>
      <c r="B5" s="4" t="s">
        <v>192</v>
      </c>
    </row>
    <row r="6" customFormat="false" ht="15" hidden="false" customHeight="false" outlineLevel="0" collapsed="false">
      <c r="A6" s="5" t="s">
        <v>193</v>
      </c>
      <c r="B6" s="5" t="s">
        <v>194</v>
      </c>
    </row>
    <row r="7" customFormat="false" ht="15" hidden="false" customHeight="false" outlineLevel="0" collapsed="false">
      <c r="A7" s="4" t="s">
        <v>195</v>
      </c>
      <c r="B7" s="4" t="s">
        <v>196</v>
      </c>
    </row>
    <row r="8" customFormat="false" ht="15" hidden="false" customHeight="false" outlineLevel="0" collapsed="false">
      <c r="A8" s="5" t="s">
        <v>197</v>
      </c>
      <c r="B8" s="5" t="s">
        <v>198</v>
      </c>
    </row>
    <row r="9" customFormat="false" ht="15" hidden="false" customHeight="false" outlineLevel="0" collapsed="false">
      <c r="A9" s="4" t="s">
        <v>199</v>
      </c>
      <c r="B9" s="4" t="s">
        <v>200</v>
      </c>
    </row>
    <row r="10" customFormat="false" ht="15" hidden="false" customHeight="false" outlineLevel="0" collapsed="false">
      <c r="A10" s="5" t="s">
        <v>201</v>
      </c>
      <c r="B10" s="5" t="s">
        <v>202</v>
      </c>
    </row>
    <row r="11" customFormat="false" ht="15" hidden="false" customHeight="false" outlineLevel="0" collapsed="false">
      <c r="A11" s="4" t="s">
        <v>203</v>
      </c>
      <c r="B11" s="4" t="s">
        <v>204</v>
      </c>
    </row>
    <row r="12" customFormat="false" ht="15" hidden="false" customHeight="false" outlineLevel="0" collapsed="false">
      <c r="A12" s="5" t="s">
        <v>205</v>
      </c>
      <c r="B12" s="5" t="s">
        <v>206</v>
      </c>
    </row>
    <row r="13" customFormat="false" ht="15" hidden="false" customHeight="false" outlineLevel="0" collapsed="false">
      <c r="A13" s="4" t="s">
        <v>207</v>
      </c>
      <c r="B13" s="4" t="s">
        <v>208</v>
      </c>
    </row>
    <row r="14" customFormat="false" ht="15" hidden="false" customHeight="false" outlineLevel="0" collapsed="false">
      <c r="A14" s="5" t="s">
        <v>209</v>
      </c>
      <c r="B14" s="5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212</v>
      </c>
      <c r="B4" s="3" t="s">
        <v>102</v>
      </c>
    </row>
    <row r="5" customFormat="false" ht="15" hidden="false" customHeight="false" outlineLevel="0" collapsed="false">
      <c r="A5" s="4" t="s">
        <v>213</v>
      </c>
      <c r="B5" s="4" t="s">
        <v>214</v>
      </c>
    </row>
    <row r="6" customFormat="false" ht="15" hidden="false" customHeight="false" outlineLevel="0" collapsed="false">
      <c r="A6" s="5" t="s">
        <v>215</v>
      </c>
      <c r="B6" s="5" t="s">
        <v>216</v>
      </c>
    </row>
    <row r="7" customFormat="false" ht="15" hidden="false" customHeight="false" outlineLevel="0" collapsed="false">
      <c r="A7" s="4" t="s">
        <v>217</v>
      </c>
      <c r="B7" s="4" t="s">
        <v>218</v>
      </c>
    </row>
    <row r="8" customFormat="false" ht="15" hidden="false" customHeight="false" outlineLevel="0" collapsed="false">
      <c r="A8" s="5" t="s">
        <v>219</v>
      </c>
      <c r="B8" s="5" t="s">
        <v>220</v>
      </c>
    </row>
    <row r="9" customFormat="false" ht="15" hidden="false" customHeight="false" outlineLevel="0" collapsed="false">
      <c r="A9" s="4" t="s">
        <v>221</v>
      </c>
      <c r="B9" s="4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212</v>
      </c>
      <c r="B4" s="3" t="s">
        <v>102</v>
      </c>
    </row>
    <row r="5" customFormat="false" ht="15" hidden="false" customHeight="false" outlineLevel="0" collapsed="false">
      <c r="A5" s="4" t="s">
        <v>43</v>
      </c>
      <c r="B5" s="4" t="s">
        <v>224</v>
      </c>
    </row>
    <row r="6" customFormat="false" ht="15" hidden="false" customHeight="false" outlineLevel="0" collapsed="false">
      <c r="A6" s="5" t="s">
        <v>225</v>
      </c>
      <c r="B6" s="5" t="s">
        <v>226</v>
      </c>
    </row>
    <row r="7" customFormat="false" ht="15" hidden="false" customHeight="false" outlineLevel="0" collapsed="false">
      <c r="A7" s="4" t="s">
        <v>227</v>
      </c>
      <c r="B7" s="4" t="s">
        <v>228</v>
      </c>
    </row>
    <row r="8" customFormat="false" ht="15" hidden="false" customHeight="false" outlineLevel="0" collapsed="false">
      <c r="A8" s="5" t="s">
        <v>229</v>
      </c>
      <c r="B8" s="5" t="s">
        <v>230</v>
      </c>
    </row>
    <row r="9" customFormat="false" ht="23.85" hidden="false" customHeight="false" outlineLevel="0" collapsed="false">
      <c r="A9" s="4" t="s">
        <v>231</v>
      </c>
      <c r="B9" s="4" t="s">
        <v>232</v>
      </c>
    </row>
    <row r="10" customFormat="false" ht="15" hidden="false" customHeight="false" outlineLevel="0" collapsed="false">
      <c r="A10" s="5" t="s">
        <v>233</v>
      </c>
      <c r="B10" s="5" t="s">
        <v>234</v>
      </c>
    </row>
    <row r="11" customFormat="false" ht="15" hidden="false" customHeight="false" outlineLevel="0" collapsed="false">
      <c r="A11" s="4" t="s">
        <v>235</v>
      </c>
      <c r="B11" s="4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212</v>
      </c>
      <c r="B4" s="3" t="s">
        <v>102</v>
      </c>
    </row>
    <row r="5" customFormat="false" ht="15" hidden="false" customHeight="false" outlineLevel="0" collapsed="false">
      <c r="A5" s="4" t="s">
        <v>238</v>
      </c>
      <c r="B5" s="4" t="s">
        <v>239</v>
      </c>
    </row>
    <row r="6" customFormat="false" ht="15" hidden="false" customHeight="false" outlineLevel="0" collapsed="false">
      <c r="A6" s="5" t="s">
        <v>238</v>
      </c>
      <c r="B6" s="5" t="s">
        <v>240</v>
      </c>
    </row>
    <row r="7" customFormat="false" ht="15" hidden="false" customHeight="false" outlineLevel="0" collapsed="false">
      <c r="A7" s="4" t="s">
        <v>241</v>
      </c>
      <c r="B7" s="4" t="s">
        <v>242</v>
      </c>
    </row>
    <row r="8" customFormat="false" ht="15" hidden="false" customHeight="false" outlineLevel="0" collapsed="false">
      <c r="A8" s="5" t="s">
        <v>243</v>
      </c>
      <c r="B8" s="5" t="s">
        <v>244</v>
      </c>
    </row>
    <row r="9" customFormat="false" ht="15" hidden="false" customHeight="false" outlineLevel="0" collapsed="false">
      <c r="A9" s="4" t="s">
        <v>245</v>
      </c>
      <c r="B9" s="4" t="s">
        <v>246</v>
      </c>
    </row>
    <row r="10" customFormat="false" ht="15" hidden="false" customHeight="false" outlineLevel="0" collapsed="false">
      <c r="A10" s="5" t="s">
        <v>245</v>
      </c>
      <c r="B10" s="5" t="s">
        <v>247</v>
      </c>
    </row>
    <row r="11" customFormat="false" ht="15" hidden="false" customHeight="false" outlineLevel="0" collapsed="false">
      <c r="A11" s="4" t="s">
        <v>245</v>
      </c>
      <c r="B11" s="4" t="s">
        <v>248</v>
      </c>
    </row>
    <row r="12" customFormat="false" ht="23.85" hidden="false" customHeight="false" outlineLevel="0" collapsed="false">
      <c r="A12" s="5" t="s">
        <v>245</v>
      </c>
      <c r="B12" s="5" t="s">
        <v>249</v>
      </c>
    </row>
    <row r="13" customFormat="false" ht="15" hidden="false" customHeight="false" outlineLevel="0" collapsed="false">
      <c r="A13" s="4" t="s">
        <v>245</v>
      </c>
      <c r="B13" s="4" t="s">
        <v>250</v>
      </c>
    </row>
    <row r="14" customFormat="false" ht="15" hidden="false" customHeight="false" outlineLevel="0" collapsed="false">
      <c r="A14" s="5" t="s">
        <v>251</v>
      </c>
      <c r="B14" s="5" t="s">
        <v>252</v>
      </c>
    </row>
    <row r="15" customFormat="false" ht="23.85" hidden="false" customHeight="false" outlineLevel="0" collapsed="false">
      <c r="A15" s="4" t="s">
        <v>253</v>
      </c>
      <c r="B15" s="4" t="s">
        <v>254</v>
      </c>
    </row>
    <row r="16" customFormat="false" ht="23.85" hidden="false" customHeight="false" outlineLevel="0" collapsed="false">
      <c r="A16" s="5" t="s">
        <v>255</v>
      </c>
      <c r="B16" s="5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258</v>
      </c>
      <c r="B4" s="3" t="s">
        <v>259</v>
      </c>
      <c r="C4" s="3" t="s">
        <v>43</v>
      </c>
      <c r="D4" s="3" t="s">
        <v>44</v>
      </c>
    </row>
    <row r="5" customFormat="false" ht="15" hidden="false" customHeight="false" outlineLevel="0" collapsed="false">
      <c r="A5" s="4" t="n">
        <v>1</v>
      </c>
      <c r="B5" s="4" t="s">
        <v>260</v>
      </c>
      <c r="C5" s="4" t="s">
        <v>48</v>
      </c>
      <c r="D5" s="4"/>
    </row>
    <row r="6" customFormat="false" ht="15" hidden="false" customHeight="false" outlineLevel="0" collapsed="false">
      <c r="A6" s="5" t="n">
        <v>2</v>
      </c>
      <c r="B6" s="5" t="s">
        <v>261</v>
      </c>
      <c r="C6" s="5" t="s">
        <v>48</v>
      </c>
      <c r="D6" s="5"/>
    </row>
    <row r="7" customFormat="false" ht="15" hidden="false" customHeight="false" outlineLevel="0" collapsed="false">
      <c r="A7" s="4" t="n">
        <v>3</v>
      </c>
      <c r="B7" s="4" t="s">
        <v>262</v>
      </c>
      <c r="C7" s="4" t="s">
        <v>48</v>
      </c>
      <c r="D7" s="4"/>
    </row>
    <row r="8" customFormat="false" ht="15" hidden="false" customHeight="false" outlineLevel="0" collapsed="false">
      <c r="A8" s="5" t="n">
        <v>4</v>
      </c>
      <c r="B8" s="5" t="s">
        <v>263</v>
      </c>
      <c r="C8" s="5" t="s">
        <v>48</v>
      </c>
      <c r="D8" s="5"/>
    </row>
    <row r="9" customFormat="false" ht="15" hidden="false" customHeight="false" outlineLevel="0" collapsed="false">
      <c r="A9" s="4" t="n">
        <v>5</v>
      </c>
      <c r="B9" s="4" t="s">
        <v>264</v>
      </c>
      <c r="C9" s="4" t="s">
        <v>48</v>
      </c>
      <c r="D9" s="4"/>
    </row>
    <row r="10" customFormat="false" ht="15" hidden="false" customHeight="false" outlineLevel="0" collapsed="false">
      <c r="A10" s="5" t="n">
        <v>6</v>
      </c>
      <c r="B10" s="5" t="s">
        <v>265</v>
      </c>
      <c r="C10" s="5" t="s">
        <v>48</v>
      </c>
      <c r="D10" s="5"/>
    </row>
  </sheetData>
  <dataValidations count="1">
    <dataValidation allowBlank="true" errorStyle="stop" operator="between" showDropDown="false" showErrorMessage="false" showInputMessage="false" sqref="C5:C10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266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212</v>
      </c>
      <c r="B4" s="3" t="s">
        <v>102</v>
      </c>
    </row>
    <row r="5" customFormat="false" ht="15" hidden="false" customHeight="false" outlineLevel="0" collapsed="false">
      <c r="A5" s="4" t="s">
        <v>267</v>
      </c>
      <c r="B5" s="4" t="s">
        <v>268</v>
      </c>
    </row>
    <row r="6" customFormat="false" ht="15" hidden="false" customHeight="false" outlineLevel="0" collapsed="false">
      <c r="A6" s="5" t="s">
        <v>269</v>
      </c>
      <c r="B6" s="5" t="s">
        <v>270</v>
      </c>
    </row>
    <row r="7" customFormat="false" ht="15" hidden="false" customHeight="false" outlineLevel="0" collapsed="false">
      <c r="A7" s="4" t="s">
        <v>271</v>
      </c>
      <c r="B7" s="4" t="s">
        <v>272</v>
      </c>
    </row>
    <row r="8" customFormat="false" ht="15" hidden="false" customHeight="false" outlineLevel="0" collapsed="false">
      <c r="A8" s="5" t="s">
        <v>273</v>
      </c>
      <c r="B8" s="5" t="s">
        <v>274</v>
      </c>
    </row>
    <row r="9" customFormat="false" ht="15" hidden="false" customHeight="false" outlineLevel="0" collapsed="false">
      <c r="A9" s="4" t="s">
        <v>275</v>
      </c>
      <c r="B9" s="4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278</v>
      </c>
      <c r="B4" s="3" t="s">
        <v>258</v>
      </c>
      <c r="C4" s="3" t="s">
        <v>259</v>
      </c>
    </row>
    <row r="5" customFormat="false" ht="15" hidden="false" customHeight="false" outlineLevel="0" collapsed="false">
      <c r="A5" s="4" t="s">
        <v>279</v>
      </c>
      <c r="B5" s="4" t="n">
        <v>1</v>
      </c>
      <c r="C5" s="4" t="s">
        <v>280</v>
      </c>
    </row>
    <row r="6" customFormat="false" ht="15" hidden="false" customHeight="false" outlineLevel="0" collapsed="false">
      <c r="A6" s="5" t="s">
        <v>279</v>
      </c>
      <c r="B6" s="5" t="n">
        <v>2</v>
      </c>
      <c r="C6" s="5" t="s">
        <v>281</v>
      </c>
    </row>
    <row r="7" customFormat="false" ht="15" hidden="false" customHeight="false" outlineLevel="0" collapsed="false">
      <c r="A7" s="4" t="s">
        <v>279</v>
      </c>
      <c r="B7" s="4" t="n">
        <v>3</v>
      </c>
      <c r="C7" s="4" t="s">
        <v>282</v>
      </c>
    </row>
    <row r="8" customFormat="false" ht="15" hidden="false" customHeight="false" outlineLevel="0" collapsed="false">
      <c r="A8" s="5" t="s">
        <v>279</v>
      </c>
      <c r="B8" s="5" t="n">
        <v>4</v>
      </c>
      <c r="C8" s="5" t="s">
        <v>283</v>
      </c>
    </row>
    <row r="9" customFormat="false" ht="15" hidden="false" customHeight="false" outlineLevel="0" collapsed="false">
      <c r="A9" s="4" t="s">
        <v>279</v>
      </c>
      <c r="B9" s="4" t="n">
        <v>5</v>
      </c>
      <c r="C9" s="4" t="s">
        <v>284</v>
      </c>
    </row>
    <row r="10" customFormat="false" ht="15" hidden="false" customHeight="false" outlineLevel="0" collapsed="false">
      <c r="A10" s="5" t="s">
        <v>279</v>
      </c>
      <c r="B10" s="5" t="n">
        <v>6</v>
      </c>
      <c r="C10" s="5" t="s">
        <v>285</v>
      </c>
    </row>
    <row r="11" customFormat="false" ht="15" hidden="false" customHeight="false" outlineLevel="0" collapsed="false">
      <c r="A11" s="4" t="s">
        <v>286</v>
      </c>
      <c r="B11" s="4" t="n">
        <v>7</v>
      </c>
      <c r="C11" s="4" t="s">
        <v>287</v>
      </c>
    </row>
    <row r="12" customFormat="false" ht="15" hidden="false" customHeight="false" outlineLevel="0" collapsed="false">
      <c r="A12" s="5" t="s">
        <v>288</v>
      </c>
      <c r="B12" s="5" t="s">
        <v>50</v>
      </c>
      <c r="C12" s="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212</v>
      </c>
      <c r="B4" s="3" t="s">
        <v>102</v>
      </c>
    </row>
    <row r="5" customFormat="false" ht="15" hidden="false" customHeight="false" outlineLevel="0" collapsed="false">
      <c r="A5" s="4" t="s">
        <v>291</v>
      </c>
      <c r="B5" s="4" t="s">
        <v>292</v>
      </c>
    </row>
    <row r="6" customFormat="false" ht="15" hidden="false" customHeight="false" outlineLevel="0" collapsed="false">
      <c r="A6" s="5" t="s">
        <v>293</v>
      </c>
      <c r="B6" s="5" t="s">
        <v>294</v>
      </c>
    </row>
    <row r="7" customFormat="false" ht="15" hidden="false" customHeight="false" outlineLevel="0" collapsed="false">
      <c r="A7" s="4" t="s">
        <v>295</v>
      </c>
      <c r="B7" s="4" t="s">
        <v>296</v>
      </c>
    </row>
    <row r="8" customFormat="false" ht="15" hidden="false" customHeight="false" outlineLevel="0" collapsed="false">
      <c r="A8" s="5" t="s">
        <v>297</v>
      </c>
      <c r="B8" s="5" t="s">
        <v>298</v>
      </c>
    </row>
    <row r="9" customFormat="false" ht="15" hidden="false" customHeight="false" outlineLevel="0" collapsed="false">
      <c r="A9" s="4" t="s">
        <v>299</v>
      </c>
      <c r="B9" s="4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212</v>
      </c>
      <c r="B4" s="3" t="s">
        <v>102</v>
      </c>
    </row>
    <row r="5" customFormat="false" ht="15" hidden="false" customHeight="false" outlineLevel="0" collapsed="false">
      <c r="A5" s="4" t="s">
        <v>301</v>
      </c>
      <c r="B5" s="4" t="s">
        <v>302</v>
      </c>
    </row>
    <row r="6" customFormat="false" ht="15" hidden="false" customHeight="false" outlineLevel="0" collapsed="false">
      <c r="A6" s="5" t="s">
        <v>303</v>
      </c>
      <c r="B6" s="5" t="s">
        <v>304</v>
      </c>
    </row>
    <row r="7" customFormat="false" ht="15" hidden="false" customHeight="false" outlineLevel="0" collapsed="false">
      <c r="A7" s="4" t="s">
        <v>305</v>
      </c>
      <c r="B7" s="4" t="s">
        <v>306</v>
      </c>
    </row>
    <row r="8" customFormat="false" ht="23.85" hidden="false" customHeight="false" outlineLevel="0" collapsed="false">
      <c r="A8" s="5" t="s">
        <v>307</v>
      </c>
      <c r="B8" s="5" t="s">
        <v>308</v>
      </c>
    </row>
    <row r="9" customFormat="false" ht="15" hidden="false" customHeight="false" outlineLevel="0" collapsed="false">
      <c r="A9" s="4" t="s">
        <v>309</v>
      </c>
      <c r="B9" s="4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278</v>
      </c>
      <c r="B4" s="3" t="s">
        <v>311</v>
      </c>
    </row>
    <row r="5" customFormat="false" ht="15" hidden="false" customHeight="false" outlineLevel="0" collapsed="false">
      <c r="A5" s="4" t="s">
        <v>312</v>
      </c>
      <c r="B5" s="4" t="s">
        <v>313</v>
      </c>
    </row>
    <row r="6" customFormat="false" ht="15" hidden="false" customHeight="false" outlineLevel="0" collapsed="false">
      <c r="A6" s="5" t="s">
        <v>314</v>
      </c>
      <c r="B6" s="5" t="s">
        <v>315</v>
      </c>
    </row>
    <row r="7" customFormat="false" ht="15" hidden="false" customHeight="false" outlineLevel="0" collapsed="false">
      <c r="A7" s="4" t="s">
        <v>267</v>
      </c>
      <c r="B7" s="4" t="s">
        <v>316</v>
      </c>
    </row>
    <row r="8" customFormat="false" ht="15" hidden="false" customHeight="false" outlineLevel="0" collapsed="false">
      <c r="A8" s="5" t="s">
        <v>279</v>
      </c>
      <c r="B8" s="5" t="s">
        <v>317</v>
      </c>
    </row>
    <row r="9" customFormat="false" ht="15" hidden="false" customHeight="false" outlineLevel="0" collapsed="false">
      <c r="A9" s="4" t="s">
        <v>318</v>
      </c>
      <c r="B9" s="4" t="s">
        <v>319</v>
      </c>
    </row>
    <row r="10" customFormat="false" ht="15" hidden="false" customHeight="false" outlineLevel="0" collapsed="false">
      <c r="A10" s="5" t="s">
        <v>286</v>
      </c>
      <c r="B10" s="5" t="s">
        <v>320</v>
      </c>
    </row>
    <row r="11" customFormat="false" ht="15" hidden="false" customHeight="false" outlineLevel="0" collapsed="false">
      <c r="A11" s="4" t="s">
        <v>321</v>
      </c>
      <c r="B11" s="4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323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259</v>
      </c>
      <c r="C4" s="3" t="s">
        <v>324</v>
      </c>
      <c r="D4" s="3" t="s">
        <v>43</v>
      </c>
      <c r="E4" s="3" t="s">
        <v>44</v>
      </c>
    </row>
    <row r="5" customFormat="false" ht="15" hidden="false" customHeight="false" outlineLevel="0" collapsed="false">
      <c r="A5" s="4" t="n">
        <v>1</v>
      </c>
      <c r="B5" s="4" t="s">
        <v>325</v>
      </c>
      <c r="C5" s="4" t="s">
        <v>326</v>
      </c>
      <c r="D5" s="4" t="s">
        <v>48</v>
      </c>
      <c r="E5" s="4"/>
    </row>
    <row r="6" customFormat="false" ht="15" hidden="false" customHeight="false" outlineLevel="0" collapsed="false">
      <c r="A6" s="5" t="n">
        <v>2</v>
      </c>
      <c r="B6" s="5" t="s">
        <v>327</v>
      </c>
      <c r="C6" s="5" t="s">
        <v>326</v>
      </c>
      <c r="D6" s="5" t="s">
        <v>48</v>
      </c>
      <c r="E6" s="5"/>
    </row>
    <row r="7" customFormat="false" ht="15" hidden="false" customHeight="false" outlineLevel="0" collapsed="false">
      <c r="A7" s="4" t="n">
        <v>3</v>
      </c>
      <c r="B7" s="4" t="s">
        <v>328</v>
      </c>
      <c r="C7" s="4" t="s">
        <v>326</v>
      </c>
      <c r="D7" s="4" t="s">
        <v>48</v>
      </c>
      <c r="E7" s="4"/>
    </row>
    <row r="8" customFormat="false" ht="15" hidden="false" customHeight="false" outlineLevel="0" collapsed="false">
      <c r="A8" s="5" t="n">
        <v>4</v>
      </c>
      <c r="B8" s="5" t="s">
        <v>329</v>
      </c>
      <c r="C8" s="5" t="s">
        <v>330</v>
      </c>
      <c r="D8" s="5" t="s">
        <v>48</v>
      </c>
      <c r="E8" s="5"/>
    </row>
    <row r="9" customFormat="false" ht="15" hidden="false" customHeight="false" outlineLevel="0" collapsed="false">
      <c r="A9" s="4" t="n">
        <v>5</v>
      </c>
      <c r="B9" s="4" t="s">
        <v>331</v>
      </c>
      <c r="C9" s="4" t="s">
        <v>326</v>
      </c>
      <c r="D9" s="4" t="s">
        <v>48</v>
      </c>
      <c r="E9" s="4"/>
    </row>
    <row r="10" customFormat="false" ht="15" hidden="false" customHeight="false" outlineLevel="0" collapsed="false">
      <c r="A10" s="5" t="n">
        <v>6</v>
      </c>
      <c r="B10" s="5" t="s">
        <v>332</v>
      </c>
      <c r="C10" s="5" t="s">
        <v>326</v>
      </c>
      <c r="D10" s="5" t="s">
        <v>48</v>
      </c>
      <c r="E10" s="5"/>
    </row>
    <row r="11" customFormat="false" ht="15" hidden="false" customHeight="false" outlineLevel="0" collapsed="false">
      <c r="A11" s="4" t="n">
        <v>7</v>
      </c>
      <c r="B11" s="4" t="s">
        <v>333</v>
      </c>
      <c r="C11" s="4" t="s">
        <v>326</v>
      </c>
      <c r="D11" s="4" t="s">
        <v>48</v>
      </c>
      <c r="E11" s="4"/>
    </row>
    <row r="12" customFormat="false" ht="15" hidden="false" customHeight="false" outlineLevel="0" collapsed="false">
      <c r="A12" s="5" t="n">
        <v>8</v>
      </c>
      <c r="B12" s="5" t="s">
        <v>334</v>
      </c>
      <c r="C12" s="5" t="s">
        <v>326</v>
      </c>
      <c r="D12" s="5" t="s">
        <v>48</v>
      </c>
      <c r="E12" s="5"/>
    </row>
    <row r="13" customFormat="false" ht="15" hidden="false" customHeight="false" outlineLevel="0" collapsed="false">
      <c r="A13" s="4" t="n">
        <v>9</v>
      </c>
      <c r="B13" s="4" t="s">
        <v>335</v>
      </c>
      <c r="C13" s="4" t="s">
        <v>326</v>
      </c>
      <c r="D13" s="4" t="s">
        <v>48</v>
      </c>
      <c r="E13" s="4"/>
    </row>
    <row r="14" customFormat="false" ht="15" hidden="false" customHeight="false" outlineLevel="0" collapsed="false">
      <c r="A14" s="5" t="n">
        <v>10</v>
      </c>
      <c r="B14" s="5" t="s">
        <v>336</v>
      </c>
      <c r="C14" s="5" t="s">
        <v>337</v>
      </c>
      <c r="D14" s="5" t="s">
        <v>48</v>
      </c>
      <c r="E14" s="5"/>
    </row>
    <row r="15" customFormat="false" ht="15" hidden="false" customHeight="false" outlineLevel="0" collapsed="false">
      <c r="A15" s="4" t="n">
        <v>11</v>
      </c>
      <c r="B15" s="4" t="s">
        <v>338</v>
      </c>
      <c r="C15" s="4" t="s">
        <v>330</v>
      </c>
      <c r="D15" s="4" t="s">
        <v>48</v>
      </c>
      <c r="E15" s="4"/>
    </row>
    <row r="17" customFormat="false" ht="15" hidden="false" customHeight="false" outlineLevel="0" collapsed="false">
      <c r="B17" s="7" t="s">
        <v>339</v>
      </c>
      <c r="C17" s="7" t="str">
        <f aca="false">COUNTIF(D5:D15,"Done")&amp;" / "&amp;COUNTA(B5:B15)</f>
        <v>0 / 11</v>
      </c>
    </row>
  </sheetData>
  <dataValidations count="1">
    <dataValidation allowBlank="true" errorStyle="stop" operator="between" showDropDown="false" showErrorMessage="false" showInputMessage="false" sqref="D5:D15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340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341</v>
      </c>
      <c r="B4" s="3" t="s">
        <v>342</v>
      </c>
      <c r="C4" s="3" t="s">
        <v>43</v>
      </c>
      <c r="D4" s="3" t="s">
        <v>44</v>
      </c>
    </row>
    <row r="5" customFormat="false" ht="15" hidden="false" customHeight="false" outlineLevel="0" collapsed="false">
      <c r="A5" s="4" t="s">
        <v>343</v>
      </c>
      <c r="B5" s="4" t="s">
        <v>344</v>
      </c>
      <c r="C5" s="4" t="s">
        <v>48</v>
      </c>
      <c r="D5" s="4"/>
    </row>
    <row r="6" customFormat="false" ht="15" hidden="false" customHeight="false" outlineLevel="0" collapsed="false">
      <c r="A6" s="5" t="s">
        <v>345</v>
      </c>
      <c r="B6" s="5" t="s">
        <v>346</v>
      </c>
      <c r="C6" s="5" t="s">
        <v>48</v>
      </c>
      <c r="D6" s="5"/>
    </row>
    <row r="7" customFormat="false" ht="15" hidden="false" customHeight="false" outlineLevel="0" collapsed="false">
      <c r="A7" s="4" t="s">
        <v>347</v>
      </c>
      <c r="B7" s="4" t="s">
        <v>348</v>
      </c>
      <c r="C7" s="4" t="s">
        <v>48</v>
      </c>
      <c r="D7" s="4"/>
    </row>
    <row r="8" customFormat="false" ht="15" hidden="false" customHeight="false" outlineLevel="0" collapsed="false">
      <c r="A8" s="5" t="s">
        <v>349</v>
      </c>
      <c r="B8" s="5" t="s">
        <v>350</v>
      </c>
      <c r="C8" s="5" t="s">
        <v>48</v>
      </c>
      <c r="D8" s="5"/>
    </row>
    <row r="9" customFormat="false" ht="15" hidden="false" customHeight="false" outlineLevel="0" collapsed="false">
      <c r="A9" s="4" t="s">
        <v>351</v>
      </c>
      <c r="B9" s="4" t="s">
        <v>352</v>
      </c>
      <c r="C9" s="4" t="s">
        <v>48</v>
      </c>
      <c r="D9" s="4"/>
    </row>
    <row r="10" customFormat="false" ht="15" hidden="false" customHeight="false" outlineLevel="0" collapsed="false">
      <c r="A10" s="5" t="s">
        <v>353</v>
      </c>
      <c r="B10" s="5" t="s">
        <v>354</v>
      </c>
      <c r="C10" s="5" t="s">
        <v>48</v>
      </c>
      <c r="D10" s="5"/>
    </row>
    <row r="11" customFormat="false" ht="15" hidden="false" customHeight="false" outlineLevel="0" collapsed="false">
      <c r="A11" s="4" t="s">
        <v>355</v>
      </c>
      <c r="B11" s="4" t="s">
        <v>356</v>
      </c>
      <c r="C11" s="4" t="s">
        <v>48</v>
      </c>
      <c r="D11" s="4"/>
    </row>
  </sheetData>
  <dataValidations count="1">
    <dataValidation allowBlank="true" errorStyle="stop" operator="between" showDropDown="false" showErrorMessage="false" showInputMessage="false" sqref="C5:C11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2026-10-12T08:52:51Z</dcterms:created>
  <dc:creator>openpyxl</dc:creator>
  <dc:description/>
  <dc:language>en-US</dc:language>
  <cp:lastModifiedBy/>
  <dcterms:modified xsi:type="dcterms:W3CDTF">2026-10-12T08:52:51Z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